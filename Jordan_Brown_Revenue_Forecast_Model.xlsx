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aedc440e934594/Documents/Excel Projects/"/>
    </mc:Choice>
  </mc:AlternateContent>
  <xr:revisionPtr revIDLastSave="225" documentId="8_{1E905685-B1FD-4AB1-84D0-3BD79158374D}" xr6:coauthVersionLast="47" xr6:coauthVersionMax="47" xr10:uidLastSave="{7DA1EC3B-26FB-46CB-96A7-5689FD25EF0E}"/>
  <bookViews>
    <workbookView xWindow="-120" yWindow="-120" windowWidth="26640" windowHeight="15090" activeTab="3" xr2:uid="{0A0326C1-B598-4653-A92F-83897A46451D}"/>
  </bookViews>
  <sheets>
    <sheet name="Project_Overview" sheetId="1" r:id="rId1"/>
    <sheet name="Assumptions" sheetId="2" r:id="rId2"/>
    <sheet name="Forecast_Model" sheetId="3" r:id="rId3"/>
    <sheet name="Dashboard" sheetId="4" r:id="rId4"/>
  </sheets>
  <definedNames>
    <definedName name="_xlnm.Print_Area" localSheetId="1">Assumptions!$A$1:$E$8</definedName>
    <definedName name="_xlnm.Print_Area" localSheetId="3">Dashboard!$B$2:$I$42</definedName>
    <definedName name="_xlnm.Print_Area" localSheetId="2">Forecast_Model!$A$1:$E$13</definedName>
    <definedName name="_xlnm.Print_Area" localSheetId="0">Project_Overview!$A$1:$A$12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2"/>
  <c r="B3" i="3" s="1"/>
  <c r="E2" i="3"/>
  <c r="D11" i="3"/>
  <c r="D4" i="3"/>
  <c r="D5" i="3" s="1"/>
  <c r="D6" i="3" s="1"/>
  <c r="D7" i="3" s="1"/>
  <c r="D8" i="3" s="1"/>
  <c r="D9" i="3" s="1"/>
  <c r="D10" i="3" s="1"/>
  <c r="D3" i="3"/>
  <c r="C2" i="3"/>
  <c r="B2" i="3"/>
  <c r="C3" i="3" l="1"/>
  <c r="B4" i="3"/>
  <c r="E3" i="3"/>
  <c r="D12" i="3"/>
  <c r="D13" i="3" s="1"/>
  <c r="B5" i="3" l="1"/>
  <c r="C4" i="3"/>
  <c r="E4" i="3" s="1"/>
  <c r="B6" i="3" l="1"/>
  <c r="C5" i="3"/>
  <c r="E5" i="3" s="1"/>
  <c r="B7" i="3" l="1"/>
  <c r="C6" i="3"/>
  <c r="E6" i="3" s="1"/>
  <c r="B8" i="3" l="1"/>
  <c r="C7" i="3"/>
  <c r="E7" i="3" s="1"/>
  <c r="B9" i="3" l="1"/>
  <c r="C8" i="3"/>
  <c r="E8" i="3" s="1"/>
  <c r="B10" i="3" l="1"/>
  <c r="C9" i="3"/>
  <c r="E9" i="3" s="1"/>
  <c r="B11" i="3" l="1"/>
  <c r="C10" i="3"/>
  <c r="E10" i="3" s="1"/>
  <c r="B12" i="3" l="1"/>
  <c r="C11" i="3"/>
  <c r="E11" i="3" s="1"/>
  <c r="B13" i="3" l="1"/>
  <c r="D3" i="4" s="1"/>
  <c r="C12" i="3"/>
  <c r="E12" i="3" s="1"/>
  <c r="C13" i="3" l="1"/>
  <c r="E13" i="3" s="1"/>
  <c r="F3" i="4" s="1"/>
  <c r="H3" i="4" s="1"/>
</calcChain>
</file>

<file path=xl/sharedStrings.xml><?xml version="1.0" encoding="utf-8"?>
<sst xmlns="http://schemas.openxmlformats.org/spreadsheetml/2006/main" count="48" uniqueCount="45">
  <si>
    <t>Revenue Forecast Assumptions</t>
  </si>
  <si>
    <t>Starting Revenue</t>
  </si>
  <si>
    <t>Monthly Growth Rate</t>
  </si>
  <si>
    <t>COGS % of Revenue</t>
  </si>
  <si>
    <t>Operating Expense Growth Rate</t>
  </si>
  <si>
    <t>Month</t>
  </si>
  <si>
    <t>Projected Revenue</t>
  </si>
  <si>
    <t>Projected COGS</t>
  </si>
  <si>
    <t>Projected Operating Expense</t>
  </si>
  <si>
    <t>Projected Net Income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</si>
  <si>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</si>
  <si>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</si>
  <si>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</si>
  <si>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</si>
  <si>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</si>
  <si>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</si>
  <si>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</si>
  <si>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</si>
  <si>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</si>
  <si>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</si>
  <si>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</si>
  <si>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</si>
  <si>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Scenario Inputs</t>
  </si>
  <si>
    <t>Scenario</t>
  </si>
  <si>
    <t>Conservative</t>
  </si>
  <si>
    <t>Base</t>
  </si>
  <si>
    <t>Optimistic</t>
  </si>
  <si>
    <t>Scenario Selected</t>
  </si>
  <si>
    <t>Total Projected Revenue</t>
  </si>
  <si>
    <t>Total Projected Net Income</t>
  </si>
  <si>
    <t>Projected Profit Margin</t>
  </si>
  <si>
    <t>Executive Summary</t>
  </si>
  <si>
    <t>• Revenue projections adjust dynamically based on selected growth scenario.</t>
  </si>
  <si>
    <t>• Net income scales proportionally due to fixed COGS % structure.</t>
  </si>
  <si>
    <t>Revenue Forecast &amp; Scenario Analysis Model</t>
  </si>
  <si>
    <t>This project models 12 months of projected revenue and profitability using dynamic growth assumptions. The model incorporates scenario-based forecasting (Conservative, Base, Optimistic) and automatically updates financial projections and KPIs.</t>
  </si>
  <si>
    <t>Tools &amp; Skills:</t>
  </si>
  <si>
    <t>• Financial forecasting</t>
  </si>
  <si>
    <t>• Scenario analysis</t>
  </si>
  <si>
    <t>• Excel financial modeling</t>
  </si>
  <si>
    <t>• XLOOKUP</t>
  </si>
  <si>
    <t>• Dashboard development</t>
  </si>
  <si>
    <t>Jordan Brown</t>
  </si>
  <si>
    <t>• Under the Base case (5% growth), total projected revenue reaches $12,415,359.</t>
  </si>
  <si>
    <t>• The model highlights the impact of growth assumptions on profitability and long-term financial outcomes.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</si>
</sst>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2" fillId="0" borderId="1" xfId="0" applyFont="1" applyBorder="1"/>
    <xf numFmtId="164" fontId="0" fillId="0" borderId="2" xfId="0" applyNumberFormat="1" applyBorder="1"/>
    <xf numFmtId="10" fontId="0" fillId="0" borderId="4" xfId="2" applyNumberFormat="1" applyFont="1" applyBorder="1"/>
    <xf numFmtId="10" fontId="0" fillId="0" borderId="6" xfId="2" applyNumberFormat="1" applyFont="1" applyBorder="1"/>
    <xf numFmtId="0" fontId="2" fillId="0" borderId="7" xfId="0" applyFont="1" applyBorder="1"/>
    <xf numFmtId="0" fontId="2" fillId="0" borderId="2" xfId="0" applyFont="1" applyBorder="1"/>
    <xf numFmtId="0" fontId="0" fillId="0" borderId="3" xfId="0" applyBorder="1"/>
    <xf numFmtId="164" fontId="0" fillId="0" borderId="0" xfId="1" applyNumberFormat="1" applyFont="1" applyBorder="1"/>
    <xf numFmtId="164" fontId="0" fillId="0" borderId="4" xfId="1" applyNumberFormat="1" applyFont="1" applyBorder="1"/>
    <xf numFmtId="0" fontId="0" fillId="0" borderId="5" xfId="0" applyBorder="1"/>
    <xf numFmtId="164" fontId="0" fillId="0" borderId="8" xfId="1" applyNumberFormat="1" applyFont="1" applyBorder="1"/>
    <xf numFmtId="164" fontId="0" fillId="0" borderId="6" xfId="1" applyNumberFormat="1" applyFont="1" applyBorder="1"/>
    <xf numFmtId="0" fontId="0" fillId="0" borderId="7" xfId="0" applyBorder="1"/>
    <xf numFmtId="0" fontId="0" fillId="0" borderId="8" xfId="0" applyBorder="1"/>
    <xf numFmtId="10" fontId="4" fillId="0" borderId="6" xfId="2" applyNumberFormat="1" applyFont="1" applyBorder="1"/>
    <xf numFmtId="0" fontId="4" fillId="0" borderId="5" xfId="0" applyFont="1" applyBorder="1"/>
    <xf numFmtId="0" fontId="0" fillId="0" borderId="0" xfId="0" applyAlignment="1">
      <alignment wrapText="1"/>
    </xf>
    <xf numFmtId="14" fontId="0" fillId="0" borderId="0" xfId="0" applyNumberFormat="1" applyAlignment="1">
      <alignment horizontal="left"/>
    </xf>
    <xf numFmtId="0" fontId="5" fillId="0" borderId="0" xfId="0" applyFont="1"/>
    <xf numFmtId="164" fontId="4" fillId="0" borderId="8" xfId="1" applyNumberFormat="1" applyFont="1" applyBorder="1"/>
    <xf numFmtId="0" fontId="2" fillId="2" borderId="1" xfId="0" applyFont="1" applyFill="1" applyBorder="1"/>
    <xf numFmtId="0" fontId="2" fillId="2" borderId="3" xfId="0" applyFont="1" applyFill="1" applyBorder="1"/>
    <xf numFmtId="0" fontId="2" fillId="2" borderId="5" xfId="0" applyFont="1" applyFill="1" applyBorder="1"/>
    <xf numFmtId="0" fontId="0" fillId="2" borderId="3" xfId="0" applyFill="1" applyBorder="1"/>
    <xf numFmtId="0" fontId="0" fillId="2" borderId="5" xfId="0" applyFill="1" applyBorder="1"/>
    <xf numFmtId="0" fontId="2" fillId="0" borderId="1" xfId="0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Projected Financial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Forecast_Model!$B$1</c:f>
              <c:strCache>
                <c:ptCount val="1"/>
                <c:pt idx="0">
                  <c:v>Projected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Forecast_Model!$A$2:$A$13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Forecast_Model!$B$2:$B$13</c:f>
              <c:numCache>
                <c:formatCode>_("$"* #,##0_);_("$"* \(#,##0\);_("$"* "-"??_);_(@_)</c:formatCode>
                <c:ptCount val="12"/>
                <c:pt idx="0">
                  <c:v>780000</c:v>
                </c:pt>
                <c:pt idx="1">
                  <c:v>819000</c:v>
                </c:pt>
                <c:pt idx="2">
                  <c:v>859950</c:v>
                </c:pt>
                <c:pt idx="3">
                  <c:v>902947.5</c:v>
                </c:pt>
                <c:pt idx="4">
                  <c:v>948094.875</c:v>
                </c:pt>
                <c:pt idx="5">
                  <c:v>995499.61875000002</c:v>
                </c:pt>
                <c:pt idx="6">
                  <c:v>1045274.5996875</c:v>
                </c:pt>
                <c:pt idx="7">
                  <c:v>1097538.3296718751</c:v>
                </c:pt>
                <c:pt idx="8">
                  <c:v>1152415.246155469</c:v>
                </c:pt>
                <c:pt idx="9">
                  <c:v>1210036.0084632426</c:v>
                </c:pt>
                <c:pt idx="10">
                  <c:v>1270537.8088864048</c:v>
                </c:pt>
                <c:pt idx="11">
                  <c:v>1334064.6993307252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61-437B-B14B-934A7A3BED2F}"/>
            </c:ext>
          </c:extLst>
        </c:ser>
        <c:ser>
          <c:idx val="1"/>
          <c:order val="1"/>
          <c:tx>
            <c:strRef>
              <c:f>Forecast_Model!$C$1</c:f>
              <c:strCache>
                <c:ptCount val="1"/>
                <c:pt idx="0">
                  <c:v>Projected COGS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Forecast_Model!$A$2:$A$13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Forecast_Model!$C$2:$C$13</c:f>
              <c:numCache>
                <c:formatCode>_("$"* #,##0_);_("$"* \(#,##0\);_("$"* "-"??_);_(@_)</c:formatCode>
                <c:ptCount val="12"/>
                <c:pt idx="0">
                  <c:v>312000</c:v>
                </c:pt>
                <c:pt idx="1">
                  <c:v>327600</c:v>
                </c:pt>
                <c:pt idx="2">
                  <c:v>343980</c:v>
                </c:pt>
                <c:pt idx="3">
                  <c:v>361179</c:v>
                </c:pt>
                <c:pt idx="4">
                  <c:v>379237.95</c:v>
                </c:pt>
                <c:pt idx="5">
                  <c:v>398199.84750000003</c:v>
                </c:pt>
                <c:pt idx="6">
                  <c:v>418109.83987500006</c:v>
                </c:pt>
                <c:pt idx="7">
                  <c:v>439015.33186875004</c:v>
                </c:pt>
                <c:pt idx="8">
                  <c:v>460966.09846218763</c:v>
                </c:pt>
                <c:pt idx="9">
                  <c:v>484014.40338529705</c:v>
                </c:pt>
                <c:pt idx="10">
                  <c:v>508215.12355456199</c:v>
                </c:pt>
                <c:pt idx="11">
                  <c:v>533625.87973229017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61-437B-B14B-934A7A3BED2F}"/>
            </c:ext>
          </c:extLst>
        </c:ser>
        <c:ser>
          <c:idx val="2"/>
          <c:order val="2"/>
          <c:tx>
            <c:strRef>
              <c:f>Forecast_Model!$D$1</c:f>
              <c:strCache>
                <c:ptCount val="1"/>
                <c:pt idx="0">
                  <c:v>Projected Operating Expense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Forecast_Model!$A$2:$A$13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Forecast_Model!$D$2:$D$13</c:f>
              <c:numCache>
                <c:formatCode>_("$"* #,##0_);_("$"* \(#,##0\);_("$"* "-"??_);_(@_)</c:formatCode>
                <c:ptCount val="12"/>
                <c:pt idx="0">
                  <c:v>165000</c:v>
                </c:pt>
                <c:pt idx="1">
                  <c:v>168300</c:v>
                </c:pt>
                <c:pt idx="2">
                  <c:v>171666</c:v>
                </c:pt>
                <c:pt idx="3">
                  <c:v>175099.32</c:v>
                </c:pt>
                <c:pt idx="4">
                  <c:v>178601.3064</c:v>
                </c:pt>
                <c:pt idx="5">
                  <c:v>182173.332528</c:v>
                </c:pt>
                <c:pt idx="6">
                  <c:v>185816.79917856</c:v>
                </c:pt>
                <c:pt idx="7">
                  <c:v>189533.13516213119</c:v>
                </c:pt>
                <c:pt idx="8">
                  <c:v>193323.79786537381</c:v>
                </c:pt>
                <c:pt idx="9">
                  <c:v>197190.27382268128</c:v>
                </c:pt>
                <c:pt idx="10">
                  <c:v>201134.0792991349</c:v>
                </c:pt>
                <c:pt idx="11">
                  <c:v>205156.7608851176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61-437B-B14B-934A7A3BED2F}"/>
            </c:ext>
          </c:extLst>
        </c:ser>
        <c:ser>
          <c:idx val="3"/>
          <c:order val="3"/>
          <c:tx>
            <c:strRef>
              <c:f>Forecast_Model!$E$1</c:f>
              <c:strCache>
                <c:ptCount val="1"/>
                <c:pt idx="0">
                  <c:v>Projected Net Income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Forecast_Model!$A$2:$A$13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Forecast_Model!$E$2:$E$13</c:f>
              <c:numCache>
                <c:formatCode>_("$"* #,##0_);_("$"* \(#,##0\);_("$"* "-"??_);_(@_)</c:formatCode>
                <c:ptCount val="12"/>
                <c:pt idx="0">
                  <c:v>303000</c:v>
                </c:pt>
                <c:pt idx="1">
                  <c:v>323100</c:v>
                </c:pt>
                <c:pt idx="2">
                  <c:v>344304</c:v>
                </c:pt>
                <c:pt idx="3">
                  <c:v>366669.17999999993</c:v>
                </c:pt>
                <c:pt idx="4">
                  <c:v>390255.61859999993</c:v>
                </c:pt>
                <c:pt idx="5">
                  <c:v>415126.43872199999</c:v>
                </c:pt>
                <c:pt idx="6">
                  <c:v>441347.96063393995</c:v>
                </c:pt>
                <c:pt idx="7">
                  <c:v>468989.8626409939</c:v>
                </c:pt>
                <c:pt idx="8">
                  <c:v>498125.34982790751</c:v>
                </c:pt>
                <c:pt idx="9">
                  <c:v>528831.33125526423</c:v>
                </c:pt>
                <c:pt idx="10">
                  <c:v>561188.60603270796</c:v>
                </c:pt>
                <c:pt idx="11">
                  <c:v>595282.0587133175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61-437B-B14B-934A7A3BE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86191"/>
        <c:axId val="45582831"/>
      </c:lineChart>
      <c:catAx>
        <c:axId val="4558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82831"/>
        <c:crosses val="autoZero"/>
        <c:auto val="1"/>
        <c:lblAlgn val="ctr"/>
        <c:lblOffset val="100"/>
        <c:noMultiLvlLbl val="0"/>
      </c:catAx>
      <c:valAx>
        <c:axId val="4558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86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Forecast_Model!$E$1</c:f>
              <c:strCache>
                <c:ptCount val="1"/>
                <c:pt idx="0">
                  <c:v>Projected Net Income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Forecast_Model!$A$2:$A$13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Forecast_Model!$E$2:$E$13</c:f>
              <c:numCache>
                <c:formatCode>_("$"* #,##0_);_("$"* \(#,##0\);_("$"* "-"??_);_(@_)</c:formatCode>
                <c:ptCount val="12"/>
                <c:pt idx="0">
                  <c:v>303000</c:v>
                </c:pt>
                <c:pt idx="1">
                  <c:v>323100</c:v>
                </c:pt>
                <c:pt idx="2">
                  <c:v>344304</c:v>
                </c:pt>
                <c:pt idx="3">
                  <c:v>366669.17999999993</c:v>
                </c:pt>
                <c:pt idx="4">
                  <c:v>390255.61859999993</c:v>
                </c:pt>
                <c:pt idx="5">
                  <c:v>415126.43872199999</c:v>
                </c:pt>
                <c:pt idx="6">
                  <c:v>441347.96063393995</c:v>
                </c:pt>
                <c:pt idx="7">
                  <c:v>468989.8626409939</c:v>
                </c:pt>
                <c:pt idx="8">
                  <c:v>498125.34982790751</c:v>
                </c:pt>
                <c:pt idx="9">
                  <c:v>528831.33125526423</c:v>
                </c:pt>
                <c:pt idx="10">
                  <c:v>561188.60603270796</c:v>
                </c:pt>
                <c:pt idx="11">
                  <c:v>595282.0587133175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0-4369-B908-EE066EF9B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266447"/>
        <c:axId val="456671455"/>
      </c:lineChart>
      <c:catAx>
        <c:axId val="45626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671455"/>
        <c:crosses val="autoZero"/>
        <c:auto val="1"/>
        <c:lblAlgn val="ctr"/>
        <c:lblOffset val="100"/>
        <c:noMultiLvlLbl val="0"/>
      </c:catAx>
      <c:valAx>
        <c:axId val="45667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26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409574</xdr:colOff>
      <xdr:row>3</xdr:row>
      <xdr:rowOff>161925</xdr:rowOff>
    </xdr:from>
    <xdr:to>
      <xdr:col>7</xdr:col>
      <xdr:colOff>761999</xdr:colOff>
      <xdr:row>18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CBF727-65F9-0734-21C4-91AF87CA5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419100</xdr:colOff>
      <xdr:row>19</xdr:row>
      <xdr:rowOff>171450</xdr:rowOff>
    </xdr:from>
    <xdr:to>
      <xdr:col>7</xdr:col>
      <xdr:colOff>762000</xdr:colOff>
      <xdr:row>35</xdr:row>
      <xdr:rowOff>66674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8CB261BF-C14A-9992-E55C-901BE742E8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F5A5-00D0-4356-A2E6-7A04BF6AFE8F}">
  <sheetPr>
    <pageSetUpPr fitToPage="1"/>
  </sheetPr>
  <dimension ref="A1:A12"/>
  <sheetViews>
    <sheetView showGridLines="0" zoomScaleNormal="100" workbookViewId="0">
      <selection sqref="A1:A12"/>
    </sheetView>
  </sheetViews>
  <sheetFormatPr defaultRowHeight="15" x14ac:dyDescent="0.25"/>
  <cols>
    <col min="1" max="1" width="58.28515625" bestFit="1" customWidth="1"/>
  </cols>
  <sheetData>
    <row r="1" spans="1:1" ht="21" x14ac:dyDescent="0.35">
      <c r="A1" s="20" t="s">
        <v>34</v>
      </c>
    </row>
    <row r="2" spans="1:1" x14ac:dyDescent="0.25">
      <c r="A2" t="s">
        <v>42</v>
      </c>
    </row>
    <row r="3" spans="1:1" x14ac:dyDescent="0.25">
      <c r="A3" s="19">
        <v>46081</v>
      </c>
    </row>
    <row r="5" spans="1:1" ht="75" x14ac:dyDescent="0.25">
      <c r="A5" s="18" t="s">
        <v>35</v>
      </c>
    </row>
    <row r="7" spans="1:1" x14ac:dyDescent="0.25">
      <c r="A7" t="s">
        <v>36</v>
      </c>
    </row>
    <row r="8" spans="1:1" x14ac:dyDescent="0.25">
      <c r="A8" t="s">
        <v>37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40</v>
      </c>
    </row>
    <row r="12" spans="1:1" x14ac:dyDescent="0.25">
      <c r="A12" t="s">
        <v>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9FB6-4923-48DD-A7E8-671AEB475356}">
  <sheetPr>
    <pageSetUpPr fitToPage="1"/>
  </sheetPr>
  <dimension ref="A1:E8"/>
  <sheetViews>
    <sheetView showGridLines="0" workbookViewId="0">
      <selection activeCell="D12" sqref="D12"/>
    </sheetView>
  </sheetViews>
  <sheetFormatPr defaultRowHeight="15" x14ac:dyDescent="0.25"/>
  <cols>
    <col min="1" max="1" width="30.28515625" bestFit="1" customWidth="1"/>
    <col min="2" max="2" width="12.140625" bestFit="1" customWidth="1"/>
    <col min="4" max="4" width="15.140625" bestFit="1" customWidth="1"/>
    <col min="5" max="5" width="19.28515625" bestFit="1" customWidth="1"/>
  </cols>
  <sheetData>
    <row r="1" spans="1:5" x14ac:dyDescent="0.25">
      <c r="A1" s="1" t="s">
        <v>0</v>
      </c>
    </row>
    <row r="2" spans="1:5" x14ac:dyDescent="0.25">
      <c r="D2" s="1" t="s">
        <v>22</v>
      </c>
    </row>
    <row r="3" spans="1:5" x14ac:dyDescent="0.25">
      <c r="A3" s="22" t="s">
        <v>1</v>
      </c>
      <c r="B3" s="3">
        <v>780000</v>
      </c>
      <c r="D3" s="27" t="s">
        <v>23</v>
      </c>
      <c r="E3" s="7" t="s">
        <v>2</v>
      </c>
    </row>
    <row r="4" spans="1:5" x14ac:dyDescent="0.25">
      <c r="A4" s="23" t="s">
        <v>2</v>
      </c>
      <c r="B4" s="4">
        <f>_xlfn.XLOOKUP($B$8,$D$4:$D$6,$E$4:$E$6)</f>
        <v>0.05</v>
      </c>
      <c r="D4" s="25" t="s">
        <v>24</v>
      </c>
      <c r="E4" s="4">
        <v>0.02</v>
      </c>
    </row>
    <row r="5" spans="1:5" x14ac:dyDescent="0.25">
      <c r="A5" s="23" t="s">
        <v>3</v>
      </c>
      <c r="B5" s="4">
        <v>0.4</v>
      </c>
      <c r="D5" s="25" t="s">
        <v>25</v>
      </c>
      <c r="E5" s="4">
        <v>0.05</v>
      </c>
    </row>
    <row r="6" spans="1:5" x14ac:dyDescent="0.25">
      <c r="A6" s="24" t="s">
        <v>4</v>
      </c>
      <c r="B6" s="5">
        <v>0.02</v>
      </c>
      <c r="D6" s="26" t="s">
        <v>26</v>
      </c>
      <c r="E6" s="5">
        <v>0.08</v>
      </c>
    </row>
    <row r="8" spans="1:5" x14ac:dyDescent="0.25">
      <c r="A8" s="1" t="s">
        <v>27</v>
      </c>
      <c r="B8" t="s">
        <v>25</v>
      </c>
    </row>
  </sheetData>
  <dataValidations count="1">
    <dataValidation type="list" allowBlank="1" showInputMessage="1" showErrorMessage="1" sqref="B8" xr:uid="{56C565CF-656C-49BD-89F3-28FD4F4D1D50}">
      <formula1>"Conservative,Base,Optimistic"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89871-0728-454C-BCEF-4E6FAE35DD14}">
  <sheetPr>
    <pageSetUpPr fitToPage="1"/>
  </sheetPr>
  <dimension ref="A1:E13"/>
  <sheetViews>
    <sheetView workbookViewId="0">
      <selection sqref="A1:E13"/>
    </sheetView>
  </sheetViews>
  <sheetFormatPr defaultRowHeight="15" x14ac:dyDescent="0.25"/>
  <cols>
    <col min="1" max="1" width="6.7109375" bestFit="1" customWidth="1"/>
    <col min="2" max="2" width="18.42578125" bestFit="1" customWidth="1"/>
    <col min="3" max="3" width="15.7109375" bestFit="1" customWidth="1"/>
    <col min="4" max="4" width="27.7109375" bestFit="1" customWidth="1"/>
    <col min="5" max="5" width="20.85546875" bestFit="1" customWidth="1"/>
  </cols>
  <sheetData>
    <row r="1" spans="1:5" s="1" customFormat="1" x14ac:dyDescent="0.25">
      <c r="A1" s="2" t="s">
        <v>5</v>
      </c>
      <c r="B1" s="6" t="s">
        <v>6</v>
      </c>
      <c r="C1" s="6" t="s">
        <v>7</v>
      </c>
      <c r="D1" s="6" t="s">
        <v>8</v>
      </c>
      <c r="E1" s="7" t="s">
        <v>9</v>
      </c>
    </row>
    <row r="2" spans="1:5" x14ac:dyDescent="0.25">
      <c r="A2" s="8" t="s">
        <v>10</v>
      </c>
      <c r="B2" s="9">
        <f>Assumptions!B3</f>
        <v>780000</v>
      </c>
      <c r="C2" s="9">
        <f>B2*Assumptions!$B$5</f>
        <v>312000</v>
      </c>
      <c r="D2" s="9">
        <v>165000</v>
      </c>
      <c r="E2" s="10">
        <f>B2-(C2+D2)</f>
        <v>303000</v>
      </c>
    </row>
    <row r="3" spans="1:5" x14ac:dyDescent="0.25">
      <c r="A3" s="8" t="s">
        <v>11</v>
      </c>
      <c r="B3" s="9">
        <f>B2*(1+Assumptions!$B$4)</f>
        <v>819000</v>
      </c>
      <c r="C3" s="9">
        <f>B3*Assumptions!$B$5</f>
        <v>327600</v>
      </c>
      <c r="D3" s="9">
        <f>D2*(1+Assumptions!$B$6)</f>
        <v>168300</v>
      </c>
      <c r="E3" s="10">
        <f t="shared" ref="E3:E13" si="0">B3-(C3+D3)</f>
        <v>323100</v>
      </c>
    </row>
    <row r="4" spans="1:5" x14ac:dyDescent="0.25">
      <c r="A4" s="8" t="s">
        <v>12</v>
      </c>
      <c r="B4" s="9">
        <f>B3*(1+Assumptions!$B$4)</f>
        <v>859950</v>
      </c>
      <c r="C4" s="9">
        <f>B4*Assumptions!$B$5</f>
        <v>343980</v>
      </c>
      <c r="D4" s="9">
        <f>D3*(1+Assumptions!$B$6)</f>
        <v>171666</v>
      </c>
      <c r="E4" s="10">
        <f t="shared" si="0"/>
        <v>344304</v>
      </c>
    </row>
    <row r="5" spans="1:5" x14ac:dyDescent="0.25">
      <c r="A5" s="8" t="s">
        <v>13</v>
      </c>
      <c r="B5" s="9">
        <f>B4*(1+Assumptions!$B$4)</f>
        <v>902947.5</v>
      </c>
      <c r="C5" s="9">
        <f>B5*Assumptions!$B$5</f>
        <v>361179</v>
      </c>
      <c r="D5" s="9">
        <f>D4*(1+Assumptions!$B$6)</f>
        <v>175099.32</v>
      </c>
      <c r="E5" s="10">
        <f t="shared" si="0"/>
        <v>366669.17999999993</v>
      </c>
    </row>
    <row r="6" spans="1:5" x14ac:dyDescent="0.25">
      <c r="A6" s="8" t="s">
        <v>14</v>
      </c>
      <c r="B6" s="9">
        <f>B5*(1+Assumptions!$B$4)</f>
        <v>948094.875</v>
      </c>
      <c r="C6" s="9">
        <f>B6*Assumptions!$B$5</f>
        <v>379237.95</v>
      </c>
      <c r="D6" s="9">
        <f>D5*(1+Assumptions!$B$6)</f>
        <v>178601.3064</v>
      </c>
      <c r="E6" s="10">
        <f t="shared" si="0"/>
        <v>390255.61859999993</v>
      </c>
    </row>
    <row r="7" spans="1:5" x14ac:dyDescent="0.25">
      <c r="A7" s="8" t="s">
        <v>15</v>
      </c>
      <c r="B7" s="9">
        <f>B6*(1+Assumptions!$B$4)</f>
        <v>995499.61875000002</v>
      </c>
      <c r="C7" s="9">
        <f>B7*Assumptions!$B$5</f>
        <v>398199.84750000003</v>
      </c>
      <c r="D7" s="9">
        <f>D6*(1+Assumptions!$B$6)</f>
        <v>182173.332528</v>
      </c>
      <c r="E7" s="10">
        <f t="shared" si="0"/>
        <v>415126.43872199999</v>
      </c>
    </row>
    <row r="8" spans="1:5" x14ac:dyDescent="0.25">
      <c r="A8" s="8" t="s">
        <v>16</v>
      </c>
      <c r="B8" s="9">
        <f>B7*(1+Assumptions!$B$4)</f>
        <v>1045274.5996875</v>
      </c>
      <c r="C8" s="9">
        <f>B8*Assumptions!$B$5</f>
        <v>418109.83987500006</v>
      </c>
      <c r="D8" s="9">
        <f>D7*(1+Assumptions!$B$6)</f>
        <v>185816.79917856</v>
      </c>
      <c r="E8" s="10">
        <f t="shared" si="0"/>
        <v>441347.96063393995</v>
      </c>
    </row>
    <row r="9" spans="1:5" x14ac:dyDescent="0.25">
      <c r="A9" s="8" t="s">
        <v>17</v>
      </c>
      <c r="B9" s="9">
        <f>B8*(1+Assumptions!$B$4)</f>
        <v>1097538.3296718751</v>
      </c>
      <c r="C9" s="9">
        <f>B9*Assumptions!$B$5</f>
        <v>439015.33186875004</v>
      </c>
      <c r="D9" s="9">
        <f>D8*(1+Assumptions!$B$6)</f>
        <v>189533.13516213119</v>
      </c>
      <c r="E9" s="10">
        <f t="shared" si="0"/>
        <v>468989.8626409939</v>
      </c>
    </row>
    <row r="10" spans="1:5" x14ac:dyDescent="0.25">
      <c r="A10" s="8" t="s">
        <v>18</v>
      </c>
      <c r="B10" s="9">
        <f>B9*(1+Assumptions!$B$4)</f>
        <v>1152415.246155469</v>
      </c>
      <c r="C10" s="9">
        <f>B10*Assumptions!$B$5</f>
        <v>460966.09846218763</v>
      </c>
      <c r="D10" s="9">
        <f>D9*(1+Assumptions!$B$6)</f>
        <v>193323.79786537381</v>
      </c>
      <c r="E10" s="10">
        <f t="shared" si="0"/>
        <v>498125.34982790751</v>
      </c>
    </row>
    <row r="11" spans="1:5" x14ac:dyDescent="0.25">
      <c r="A11" s="8" t="s">
        <v>19</v>
      </c>
      <c r="B11" s="9">
        <f>B10*(1+Assumptions!$B$4)</f>
        <v>1210036.0084632426</v>
      </c>
      <c r="C11" s="9">
        <f>B11*Assumptions!$B$5</f>
        <v>484014.40338529705</v>
      </c>
      <c r="D11" s="9">
        <f>D10*(1+Assumptions!$B$6)</f>
        <v>197190.27382268128</v>
      </c>
      <c r="E11" s="10">
        <f t="shared" si="0"/>
        <v>528831.33125526423</v>
      </c>
    </row>
    <row r="12" spans="1:5" x14ac:dyDescent="0.25">
      <c r="A12" s="8" t="s">
        <v>20</v>
      </c>
      <c r="B12" s="9">
        <f>B11*(1+Assumptions!$B$4)</f>
        <v>1270537.8088864048</v>
      </c>
      <c r="C12" s="9">
        <f>B12*Assumptions!$B$5</f>
        <v>508215.12355456199</v>
      </c>
      <c r="D12" s="9">
        <f>D11*(1+Assumptions!$B$6)</f>
        <v>201134.0792991349</v>
      </c>
      <c r="E12" s="10">
        <f t="shared" si="0"/>
        <v>561188.60603270796</v>
      </c>
    </row>
    <row r="13" spans="1:5" x14ac:dyDescent="0.25">
      <c r="A13" s="11" t="s">
        <v>21</v>
      </c>
      <c r="B13" s="12">
        <f>B12*(1+Assumptions!$B$4)</f>
        <v>1334064.6993307252</v>
      </c>
      <c r="C13" s="12">
        <f>B13*Assumptions!$B$5</f>
        <v>533625.87973229017</v>
      </c>
      <c r="D13" s="12">
        <f>D12*(1+Assumptions!$B$6)</f>
        <v>205156.7608851176</v>
      </c>
      <c r="E13" s="13">
        <f t="shared" si="0"/>
        <v>595282.0587133175</v>
      </c>
    </row>
  </sheetData>
  <phoneticPr fontId="3" type="noConversion"/>
  <pageMargins left="0.25" right="0.25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35BBA-DD8C-4F91-8EED-913B002BECF8}">
  <sheetPr>
    <pageSetUpPr fitToPage="1"/>
  </sheetPr>
  <dimension ref="B2:H42"/>
  <sheetViews>
    <sheetView showGridLines="0" tabSelected="1" workbookViewId="0">
      <selection activeCell="A7" sqref="A7"/>
    </sheetView>
  </sheetViews>
  <sheetFormatPr defaultRowHeight="15" x14ac:dyDescent="0.25"/>
  <cols>
    <col min="2" max="2" width="10.85546875" bestFit="1" customWidth="1"/>
    <col min="4" max="4" width="23.42578125" bestFit="1" customWidth="1"/>
    <col min="6" max="6" width="26" bestFit="1" customWidth="1"/>
    <col min="8" max="8" width="22" bestFit="1" customWidth="1"/>
  </cols>
  <sheetData>
    <row r="2" spans="2:8" x14ac:dyDescent="0.25">
      <c r="B2" s="2" t="s">
        <v>23</v>
      </c>
      <c r="C2" s="14"/>
      <c r="D2" s="6" t="s">
        <v>28</v>
      </c>
      <c r="E2" s="14"/>
      <c r="F2" s="6" t="s">
        <v>29</v>
      </c>
      <c r="G2" s="14"/>
      <c r="H2" s="7" t="s">
        <v>30</v>
      </c>
    </row>
    <row r="3" spans="2:8" ht="15.75" x14ac:dyDescent="0.25">
      <c r="B3" s="17" t="str">
        <f>Assumptions!B8</f>
        <v>Base</v>
      </c>
      <c r="C3" s="15"/>
      <c r="D3" s="21">
        <f>SUM(Forecast_Model!B2:B13)</f>
        <v>12415358.685945217</v>
      </c>
      <c r="E3" s="15"/>
      <c r="F3" s="21">
        <f>SUM(Forecast_Model!E2:E13)</f>
        <v>5236220.4064261308</v>
      </c>
      <c r="G3" s="15"/>
      <c r="H3" s="16">
        <f>F3/D3</f>
        <v>0.42175345383728496</v>
      </c>
    </row>
    <row r="38" spans="4:4" x14ac:dyDescent="0.25">
      <c r="D38" s="1" t="s">
        <v>31</v>
      </c>
    </row>
    <row r="39" spans="4:4" x14ac:dyDescent="0.25">
      <c r="D39" t="s">
        <v>32</v>
      </c>
    </row>
    <row r="40" spans="4:4" x14ac:dyDescent="0.25">
      <c r="D40" t="s">
        <v>43</v>
      </c>
    </row>
    <row r="41" spans="4:4" x14ac:dyDescent="0.25">
      <c r="D41" t="s">
        <v>33</v>
      </c>
    </row>
    <row r="42" spans="4:4" x14ac:dyDescent="0.25">
      <c r="D42" t="s">
        <v>44</v>
      </c>
    </row>
  </sheetData>
  <pageMargins left="0.25" right="0.25" top="0.75" bottom="0.75" header="0.3" footer="0.3"/>
  <pageSetup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Project_Overview</vt:lpstr>
      <vt:lpstr>Assumptions</vt:lpstr>
      <vt:lpstr>Forecast_Model</vt:lpstr>
      <vt:lpstr>Dashboard</vt:lpstr>
      <vt:lpstr>Assumptions!Print_Area</vt:lpstr>
      <vt:lpstr>Dashboard!Print_Area</vt:lpstr>
      <vt:lpstr>Forecast_Model!Print_Area</vt:lpstr>
      <vt:lpstr>Project_Overview!Print_Area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Brown</dc:creator>
  <cp:lastModifiedBy>Jordan Brown</cp:lastModifiedBy>
  <cp:lastPrinted>2026-02-26T17:40:06Z</cp:lastPrinted>
  <dcterms:created xsi:type="dcterms:W3CDTF">2026-02-25T03:17:58Z</dcterms:created>
  <dcterms:modified xsi:type="dcterms:W3CDTF">2026-02-26T17:40:08Z</dcterms:modified>
</cp:coreProperties>
</file>